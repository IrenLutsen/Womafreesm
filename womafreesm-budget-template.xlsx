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Бюджет 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Приклад заповнення для демонстрації формату. Реальні суми вносить фінансовий директор.</t>
        </r>
      </text>
    </comment>
  </commentList>
</comments>
</file>

<file path=xl/sharedStrings.xml><?xml version="1.0" encoding="utf-8"?>
<sst xmlns="http://schemas.openxmlformats.org/spreadsheetml/2006/main" count="30" uniqueCount="30">
  <si>
    <t xml:space="preserve">Womafreesm — Бюджет підготовчого періоду · 2026 (шаблон, приклад заповнення)</t>
  </si>
  <si>
    <t xml:space="preserve">Готує та подає: Фінансовий директор · Оновлення: щомісяця</t>
  </si>
  <si>
    <t xml:space="preserve">№</t>
  </si>
  <si>
    <t xml:space="preserve">Стаття бюджету</t>
  </si>
  <si>
    <t xml:space="preserve">Відповідальний</t>
  </si>
  <si>
    <t xml:space="preserve">Заплановано, $</t>
  </si>
  <si>
    <t xml:space="preserve">Витрачено, $</t>
  </si>
  <si>
    <t xml:space="preserve">Залишок, $</t>
  </si>
  <si>
    <t xml:space="preserve">% виконання</t>
  </si>
  <si>
    <t xml:space="preserve">Примітка</t>
  </si>
  <si>
    <t xml:space="preserve">Управління та команда</t>
  </si>
  <si>
    <t xml:space="preserve">СЕО</t>
  </si>
  <si>
    <t xml:space="preserve">Зарплати, координація, адмін</t>
  </si>
  <si>
    <t xml:space="preserve">Методологія досліджень</t>
  </si>
  <si>
    <t xml:space="preserve">Methodology Lead</t>
  </si>
  <si>
    <t xml:space="preserve">Дизайн анкети, індексна модель</t>
  </si>
  <si>
    <t xml:space="preserve">Етика, DPIA, приватність</t>
  </si>
  <si>
    <t xml:space="preserve">Ethics &amp; Data Lead</t>
  </si>
  <si>
    <t xml:space="preserve">Незалежна етична експертиза</t>
  </si>
  <si>
    <t xml:space="preserve">Цифрова платформа (CRM)</t>
  </si>
  <si>
    <t xml:space="preserve">Data &amp; IT Lead</t>
  </si>
  <si>
    <t xml:space="preserve">Єдина CRM: заявки, опитування, кейси</t>
  </si>
  <si>
    <t xml:space="preserve">Аудит 45–64 (рекрутинг, аналіз)</t>
  </si>
  <si>
    <t xml:space="preserve">Research Lead</t>
  </si>
  <si>
    <t xml:space="preserve">5 країн першої хвилі</t>
  </si>
  <si>
    <t xml:space="preserve">Комунікації та партнерства</t>
  </si>
  <si>
    <t xml:space="preserve">Partnerships Director</t>
  </si>
  <si>
    <t xml:space="preserve">Розсилки, презентації, PR</t>
  </si>
  <si>
    <t xml:space="preserve">Разом</t>
  </si>
  <si>
    <t xml:space="preserve">Легенда: сині клітинки (Заплановано, Витрачено) редагує фінансовий директор щомісяця. Чорні клітинки — формули, не редагувати вручну.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</si>
</sst>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B5A6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B1B36"/>
        <bgColor rgb="FF333300"/>
      </patternFill>
    </fill>
    <fill>
      <patternFill patternType="solid">
        <fgColor rgb="FFF3E9DC"/>
        <bgColor rgb="FFFFFFFF"/>
      </patternFill>
    </fill>
    <fill>
      <patternFill patternType="solid">
        <fgColor rgb="FFC7963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BB8"/>
      </left>
      <right style="thin">
        <color rgb="FFD9CBB8"/>
      </right>
      <top style="thin">
        <color rgb="FFD9CBB8"/>
      </top>
      <bottom style="thin">
        <color rgb="FFD9CB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BB8"/>
      <rgbColor rgb="FF808080"/>
      <rgbColor rgb="FF9999FF"/>
      <rgbColor rgb="FF993366"/>
      <rgbColor rgb="FFF3E9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7963F"/>
      <rgbColor rgb="FFFF6600"/>
      <rgbColor rgb="FF6B5A6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1B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3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n">
        <v>1</v>
      </c>
      <c r="B5" s="4" t="s">
        <v>10</v>
      </c>
      <c r="C5" s="4" t="s">
        <v>11</v>
      </c>
      <c r="D5" s="5" t="n">
        <v>220000</v>
      </c>
      <c r="E5" s="5" t="n">
        <v>95000</v>
      </c>
      <c r="F5" s="6" t="n">
        <f aca="false">D5-E5</f>
        <v>125000</v>
      </c>
      <c r="G5" s="7" t="n">
        <f aca="false">IFERROR(E5/D5,0)</f>
        <v>0.431818181818182</v>
      </c>
      <c r="H5" s="8" t="s">
        <v>12</v>
      </c>
    </row>
    <row r="6" customFormat="false" ht="15" hidden="false" customHeight="false" outlineLevel="0" collapsed="false">
      <c r="A6" s="9" t="n">
        <v>2</v>
      </c>
      <c r="B6" s="9" t="s">
        <v>13</v>
      </c>
      <c r="C6" s="9" t="s">
        <v>14</v>
      </c>
      <c r="D6" s="10" t="n">
        <v>180000</v>
      </c>
      <c r="E6" s="10" t="n">
        <v>60000</v>
      </c>
      <c r="F6" s="11" t="n">
        <f aca="false">D6-E6</f>
        <v>120000</v>
      </c>
      <c r="G6" s="12" t="n">
        <f aca="false">IFERROR(E6/D6,0)</f>
        <v>0.333333333333333</v>
      </c>
      <c r="H6" s="13" t="s">
        <v>15</v>
      </c>
    </row>
    <row r="7" customFormat="false" ht="15" hidden="false" customHeight="false" outlineLevel="0" collapsed="false">
      <c r="A7" s="4" t="n">
        <v>3</v>
      </c>
      <c r="B7" s="4" t="s">
        <v>16</v>
      </c>
      <c r="C7" s="4" t="s">
        <v>17</v>
      </c>
      <c r="D7" s="5" t="n">
        <v>140000</v>
      </c>
      <c r="E7" s="5" t="n">
        <v>70000</v>
      </c>
      <c r="F7" s="6" t="n">
        <f aca="false">D7-E7</f>
        <v>70000</v>
      </c>
      <c r="G7" s="7" t="n">
        <f aca="false">IFERROR(E7/D7,0)</f>
        <v>0.5</v>
      </c>
      <c r="H7" s="8" t="s">
        <v>18</v>
      </c>
    </row>
    <row r="8" customFormat="false" ht="15" hidden="false" customHeight="false" outlineLevel="0" collapsed="false">
      <c r="A8" s="9" t="n">
        <v>4</v>
      </c>
      <c r="B8" s="9" t="s">
        <v>19</v>
      </c>
      <c r="C8" s="9" t="s">
        <v>20</v>
      </c>
      <c r="D8" s="10" t="n">
        <v>260000</v>
      </c>
      <c r="E8" s="10" t="n">
        <v>110000</v>
      </c>
      <c r="F8" s="11" t="n">
        <f aca="false">D8-E8</f>
        <v>150000</v>
      </c>
      <c r="G8" s="12" t="n">
        <f aca="false">IFERROR(E8/D8,0)</f>
        <v>0.423076923076923</v>
      </c>
      <c r="H8" s="13" t="s">
        <v>21</v>
      </c>
    </row>
    <row r="9" customFormat="false" ht="15" hidden="false" customHeight="false" outlineLevel="0" collapsed="false">
      <c r="A9" s="4" t="n">
        <v>5</v>
      </c>
      <c r="B9" s="4" t="s">
        <v>22</v>
      </c>
      <c r="C9" s="4" t="s">
        <v>23</v>
      </c>
      <c r="D9" s="5" t="n">
        <v>300000</v>
      </c>
      <c r="E9" s="5" t="n">
        <v>55000</v>
      </c>
      <c r="F9" s="6" t="n">
        <f aca="false">D9-E9</f>
        <v>245000</v>
      </c>
      <c r="G9" s="7" t="n">
        <f aca="false">IFERROR(E9/D9,0)</f>
        <v>0.183333333333333</v>
      </c>
      <c r="H9" s="8" t="s">
        <v>24</v>
      </c>
    </row>
    <row r="10" customFormat="false" ht="15" hidden="false" customHeight="false" outlineLevel="0" collapsed="false">
      <c r="A10" s="9" t="n">
        <v>6</v>
      </c>
      <c r="B10" s="9" t="s">
        <v>25</v>
      </c>
      <c r="C10" s="9" t="s">
        <v>26</v>
      </c>
      <c r="D10" s="10" t="n">
        <v>150000</v>
      </c>
      <c r="E10" s="10" t="n">
        <v>22000</v>
      </c>
      <c r="F10" s="11" t="n">
        <f aca="false">D10-E10</f>
        <v>128000</v>
      </c>
      <c r="G10" s="12" t="n">
        <f aca="false">IFERROR(E10/D10,0)</f>
        <v>0.146666666666667</v>
      </c>
      <c r="H10" s="13" t="s">
        <v>27</v>
      </c>
    </row>
    <row r="11" customFormat="false" ht="15" hidden="false" customHeight="false" outlineLevel="0" collapsed="false">
      <c r="A11" s="14" t="s">
        <v>28</v>
      </c>
      <c r="B11" s="14"/>
      <c r="C11" s="14"/>
      <c r="D11" s="15" t="n">
        <f aca="false">SUM(D5:D10)</f>
        <v>1250000</v>
      </c>
      <c r="E11" s="15" t="n">
        <f aca="false">SUM(E5:E10)</f>
        <v>412000</v>
      </c>
      <c r="F11" s="15" t="n">
        <f aca="false">D11-E11</f>
        <v>838000</v>
      </c>
      <c r="G11" s="16" t="n">
        <f aca="false">IFERROR(E11/D11,0)</f>
        <v>0.3296</v>
      </c>
      <c r="H11" s="17"/>
    </row>
    <row r="13" customFormat="false" ht="15" hidden="false" customHeight="false" outlineLevel="0" collapsed="false">
      <c r="A13" s="2" t="s">
        <v>29</v>
      </c>
      <c r="B13" s="2"/>
      <c r="C13" s="2"/>
      <c r="D13" s="2"/>
      <c r="E13" s="2"/>
      <c r="F13" s="2"/>
      <c r="G13" s="2"/>
      <c r="H13" s="2"/>
    </row>
  </sheetData>
  <mergeCells count="4">
    <mergeCell ref="A1:H1"/>
    <mergeCell ref="A2:H2"/>
    <mergeCell ref="A11:C11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2026-07-29T13:20:28Z</dcterms:created>
  <dc:creator>openpyxl</dc:creator>
  <dc:description/>
  <dc:language>en-US</dc:language>
  <cp:lastModifiedBy/>
  <dcterms:modified xsi:type="dcterms:W3CDTF">2026-07-29T13:20:28Z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